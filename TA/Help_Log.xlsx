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Help_Log" sheetId="1" state="visible" r:id="rId1"/>
    <sheet name="Dashboard" sheetId="2" state="visible" r:id="rId2"/>
    <sheet name="Student_Summary" sheetId="3" state="visible" r:id="rId3"/>
    <sheet name="Roster" sheetId="4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<sst xmlns="http://schemas.openxmlformats.org/spreadsheetml/2006/main" count="96" uniqueCount="96">
  <si>
    <t>Timestamp</t>
  </si>
  <si>
    <t xml:space="preserve">Student Name</t>
  </si>
  <si>
    <t>Section</t>
  </si>
  <si>
    <t xml:space="preserve">Helped By</t>
  </si>
  <si>
    <t xml:space="preserve">Help Level</t>
  </si>
  <si>
    <t>Notes</t>
  </si>
  <si>
    <t>Section_List</t>
  </si>
  <si>
    <t>Help_Level</t>
  </si>
  <si>
    <t>Helped_by</t>
  </si>
  <si>
    <t>Michael</t>
  </si>
  <si>
    <t>Marcus</t>
  </si>
  <si>
    <t>Sara</t>
  </si>
  <si>
    <t>Instructor</t>
  </si>
  <si>
    <t xml:space="preserve">COURSE HELP ANALYTICS</t>
  </si>
  <si>
    <t>Metric</t>
  </si>
  <si>
    <t>Value</t>
  </si>
  <si>
    <t xml:space="preserve">Total Help Interactions</t>
  </si>
  <si>
    <t xml:space="preserve">Average Student Score</t>
  </si>
  <si>
    <t xml:space="preserve">Students With No Help</t>
  </si>
  <si>
    <t xml:space="preserve">Most Active Student Score</t>
  </si>
  <si>
    <t xml:space="preserve">Least Active Student Score</t>
  </si>
  <si>
    <t xml:space="preserve">SECTION BREAKDOWN</t>
  </si>
  <si>
    <t>Interactions</t>
  </si>
  <si>
    <t xml:space="preserve">HELP TYPE DISTRIBUTION</t>
  </si>
  <si>
    <t>Type</t>
  </si>
  <si>
    <t>Count</t>
  </si>
  <si>
    <t xml:space="preserve">Level 1 (quick)</t>
  </si>
  <si>
    <t xml:space="preserve">Level 2 (deep help)</t>
  </si>
  <si>
    <t xml:space="preserve">ENGAGEMENT SUMMARY</t>
  </si>
  <si>
    <t xml:space="preserve">Highly Engaged</t>
  </si>
  <si>
    <t>Active</t>
  </si>
  <si>
    <t>Moderate</t>
  </si>
  <si>
    <t>Low</t>
  </si>
  <si>
    <t>None</t>
  </si>
  <si>
    <t xml:space="preserve">L1 Count</t>
  </si>
  <si>
    <t xml:space="preserve">L2 Count</t>
  </si>
  <si>
    <t xml:space="preserve">Total Score</t>
  </si>
  <si>
    <t>Engagement</t>
  </si>
  <si>
    <t xml:space="preserve">Student Name </t>
  </si>
  <si>
    <t xml:space="preserve">Section </t>
  </si>
  <si>
    <t xml:space="preserve">Bryson Bargas</t>
  </si>
  <si>
    <t xml:space="preserve">Jacob Batton</t>
  </si>
  <si>
    <t xml:space="preserve">Noah Boggers</t>
  </si>
  <si>
    <t xml:space="preserve">Mani Botla </t>
  </si>
  <si>
    <t xml:space="preserve">Joseph Dye</t>
  </si>
  <si>
    <t xml:space="preserve">Simon Glashauser</t>
  </si>
  <si>
    <t xml:space="preserve">Dante Haman</t>
  </si>
  <si>
    <t xml:space="preserve">Miller Kites</t>
  </si>
  <si>
    <t xml:space="preserve">Nicholas Liverett</t>
  </si>
  <si>
    <t xml:space="preserve">Patriya Murray </t>
  </si>
  <si>
    <t xml:space="preserve">Alex Patel</t>
  </si>
  <si>
    <t xml:space="preserve">Nick Russel</t>
  </si>
  <si>
    <t xml:space="preserve">Franklin Sintic</t>
  </si>
  <si>
    <t xml:space="preserve">Anissa Sollman</t>
  </si>
  <si>
    <t xml:space="preserve">Mason Thomas </t>
  </si>
  <si>
    <t xml:space="preserve">Brody Walker</t>
  </si>
  <si>
    <t xml:space="preserve">Nevaeh Zumbrun</t>
  </si>
  <si>
    <t xml:space="preserve">Cameron Baily</t>
  </si>
  <si>
    <t xml:space="preserve">Lydia Ballard</t>
  </si>
  <si>
    <t xml:space="preserve">Jason Brown</t>
  </si>
  <si>
    <t xml:space="preserve">Noble Carpenter</t>
  </si>
  <si>
    <t xml:space="preserve">Jamal Crocker</t>
  </si>
  <si>
    <t xml:space="preserve">Ian Cronin </t>
  </si>
  <si>
    <t xml:space="preserve">Sydney Frisbee</t>
  </si>
  <si>
    <t xml:space="preserve">Will Hemphill</t>
  </si>
  <si>
    <t xml:space="preserve">Maximus Jessey</t>
  </si>
  <si>
    <t xml:space="preserve">Idris King </t>
  </si>
  <si>
    <t xml:space="preserve">Bryce Lander</t>
  </si>
  <si>
    <t xml:space="preserve">Hoang Le</t>
  </si>
  <si>
    <t xml:space="preserve">Nathan Mcclure</t>
  </si>
  <si>
    <t xml:space="preserve">Rickey Newbold</t>
  </si>
  <si>
    <t xml:space="preserve">Wesley Ni</t>
  </si>
  <si>
    <t xml:space="preserve">Preston Page </t>
  </si>
  <si>
    <t xml:space="preserve">Megh Patel </t>
  </si>
  <si>
    <t xml:space="preserve">Bryant Peden</t>
  </si>
  <si>
    <t xml:space="preserve">Vincent Pestilli</t>
  </si>
  <si>
    <t xml:space="preserve">Jacob Russell</t>
  </si>
  <si>
    <t xml:space="preserve">Laurae Thaete</t>
  </si>
  <si>
    <t xml:space="preserve">Teagan Tobias</t>
  </si>
  <si>
    <t xml:space="preserve">Braylon Trail</t>
  </si>
  <si>
    <t xml:space="preserve">Marcus Vanwerry </t>
  </si>
  <si>
    <t xml:space="preserve">Lewis Walldorf</t>
  </si>
  <si>
    <t xml:space="preserve">Ellie Williams</t>
  </si>
  <si>
    <t xml:space="preserve">Christian Winchester</t>
  </si>
  <si>
    <t xml:space="preserve">Adam Campbell</t>
  </si>
  <si>
    <t xml:space="preserve">Tim Chow</t>
  </si>
  <si>
    <t xml:space="preserve">Eli Desha </t>
  </si>
  <si>
    <t xml:space="preserve">Brady Gilder </t>
  </si>
  <si>
    <t xml:space="preserve">Tyler Gill </t>
  </si>
  <si>
    <t xml:space="preserve">Michael Lamberth </t>
  </si>
  <si>
    <t xml:space="preserve">Elliot Lindsey </t>
  </si>
  <si>
    <t xml:space="preserve">Sean Mcknight </t>
  </si>
  <si>
    <t xml:space="preserve">Philip Nguyen</t>
  </si>
  <si>
    <t xml:space="preserve">Erick Ramirez</t>
  </si>
  <si>
    <t xml:space="preserve">Nic Stamper</t>
  </si>
  <si>
    <t xml:space="preserve">Tristan Worthington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</si>
</sst>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0" fillId="0" borderId="0" numFmtId="0" xfId="0">
      <protection locked="0"/>
    </xf>
    <xf fontId="0" fillId="0" borderId="0" numFmtId="16" xfId="0" applyNumberFormat="1"/>
    <xf fontId="0" fillId="0" borderId="0" numFmtId="0" xfId="0" applyAlignment="1">
      <alignment horizontal="left"/>
    </xf>
    <xf fontId="0" fillId="0" borderId="0" numFmtId="0" xfId="0" applyAlignment="1">
      <alignment horizontal="center"/>
    </xf>
    <xf fontId="1" fillId="2" borderId="1" numFmtId="0" xfId="0" applyFont="1" applyFill="1" applyBorder="1" applyAlignment="1">
      <alignment horizontal="center"/>
    </xf>
    <xf fontId="1" fillId="2" borderId="2" numFmtId="0" xfId="0" applyFont="1" applyFill="1" applyBorder="1" applyAlignment="1">
      <alignment horizontal="center"/>
    </xf>
    <xf fontId="0" fillId="0" borderId="3" numFmtId="0" xfId="0" applyBorder="1" applyAlignment="1">
      <alignment horizontal="left"/>
    </xf>
    <xf fontId="0" fillId="0" borderId="3" numFmtId="0" xfId="0" applyBorder="1" applyAlignment="1">
      <alignment horizontal="center"/>
    </xf>
    <xf fontId="2" fillId="3" borderId="3" numFmtId="0" xfId="0" applyFont="1" applyFill="1" applyBorder="1" applyAlignment="1">
      <alignment horizontal="left"/>
    </xf>
    <xf fontId="2" fillId="3" borderId="3" numFmtId="0" xfId="0" applyFont="1" applyFill="1" applyBorder="1" applyAlignment="1">
      <alignment horizontal="center"/>
    </xf>
    <xf fontId="2" fillId="2" borderId="1" numFmtId="0" xfId="0" applyFont="1" applyFill="1" applyBorder="1" applyAlignment="1">
      <alignment horizontal="center"/>
    </xf>
    <xf fontId="2" fillId="2" borderId="2" numFmtId="0" xfId="0" applyFont="1" applyFill="1" applyBorder="1" applyAlignment="1">
      <alignment horizontal="center"/>
    </xf>
    <xf fontId="0" fillId="3" borderId="3" numFmtId="0" xfId="0" applyFill="1" applyBorder="1" applyAlignment="1">
      <alignment horizontal="left"/>
    </xf>
    <xf fontId="0" fillId="3" borderId="3" numFmt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4.25"/>
  <cols>
    <col customWidth="1" min="1" max="1" width="12.421875"/>
    <col customWidth="1" min="2" max="2" style="1" width="17.140625"/>
    <col customWidth="1" min="3" max="3" style="1" width="11.28125"/>
    <col customWidth="1" min="4" max="4" style="1" width="12.8515625"/>
    <col customWidth="1" min="5" max="5" style="1" width="13.00390625"/>
    <col customWidth="1" min="6" max="6" style="1" width="36.421875"/>
    <col customWidth="1" hidden="1" min="22" max="24" width="0"/>
  </cols>
  <sheetData>
    <row r="1" ht="14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>
      <c r="B2" s="1"/>
      <c r="C2" s="1"/>
      <c r="D2" s="1"/>
      <c r="E2" s="1"/>
      <c r="V2" t="s">
        <v>6</v>
      </c>
      <c r="W2" t="s">
        <v>7</v>
      </c>
      <c r="X2" t="s">
        <v>8</v>
      </c>
    </row>
    <row r="3" ht="14.25">
      <c r="A3" s="2"/>
      <c r="B3" s="1"/>
      <c r="C3" s="1"/>
      <c r="D3" s="1"/>
      <c r="E3" s="1"/>
      <c r="V3">
        <v>1</v>
      </c>
      <c r="W3">
        <v>1</v>
      </c>
      <c r="X3" t="s">
        <v>9</v>
      </c>
    </row>
    <row r="4" ht="14.25">
      <c r="V4">
        <v>3</v>
      </c>
      <c r="W4">
        <v>2</v>
      </c>
      <c r="X4" t="s">
        <v>10</v>
      </c>
    </row>
    <row r="5" ht="14.25">
      <c r="V5">
        <v>4</v>
      </c>
      <c r="X5" t="s">
        <v>11</v>
      </c>
    </row>
    <row r="6" ht="14.25">
      <c r="X6" t="s">
        <v>12</v>
      </c>
    </row>
  </sheetData>
  <sheetProtection autoFilter="1" deleteColumns="1" deleteRows="1" formatCells="1" formatColumns="1" formatRows="1" insertColumns="1" insertHyperlinks="1" insertRows="1" pivotTables="1" selectLockedCells="1" selectUnlockedCells="0" sheet="0" sort="1"/>
  <dataValidations count="1" disablePrompts="0">
    <dataValidation sqref="B:B" type="list" allowBlank="1" errorStyle="stop" imeMode="noControl" operator="between" showDropDown="0" showErrorMessage="1" showInputMessage="1">
      <formula1>Roster!$A$2:$A$57</formula1>
    </dataValidation>
  </dataValidation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6F0099-0061-466E-89B4-00D60043009C}" type="list" allowBlank="1" errorStyle="stop" imeMode="noControl" operator="between" showDropDown="0" showErrorMessage="1" showInputMessage="1">
          <x14:formula1>
            <xm:f>$V$3:$V$5</xm:f>
          </x14:formula1>
          <xm:sqref>C:C</xm:sqref>
        </x14:dataValidation>
        <x14:dataValidation xr:uid="{002D0045-00A8-48E0-ADF8-00270002009F}" type="list" allowBlank="1" errorStyle="stop" imeMode="noControl" operator="between" showDropDown="0" showErrorMessage="1" showInputMessage="1">
          <x14:formula1>
            <xm:f>$X$3:$X$6</xm:f>
          </x14:formula1>
          <xm:sqref>D:D</xm:sqref>
        </x14:dataValidation>
        <x14:dataValidation xr:uid="{009E000B-00A7-464C-8690-00E9008E00C9}" type="list" allowBlank="1" errorStyle="stop" imeMode="noControl" operator="between" showDropDown="0" showErrorMessage="1" showInputMessage="1">
          <x14:formula1>
            <xm:f>$W$3:$W$4</xm:f>
          </x14:formula1>
          <xm:sqref>E:E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1" style="3" width="31.8515625"/>
    <col customWidth="1" min="2" max="2" style="4" width="14.8515625"/>
  </cols>
  <sheetData>
    <row r="1" ht="18.75">
      <c r="A1" s="5" t="s">
        <v>13</v>
      </c>
      <c r="B1" s="6"/>
    </row>
    <row r="2">
      <c r="A2" s="7"/>
      <c r="B2" s="8"/>
    </row>
    <row r="3">
      <c r="A3" s="9" t="s">
        <v>14</v>
      </c>
      <c r="B3" s="10" t="s">
        <v>15</v>
      </c>
    </row>
    <row r="4">
      <c r="A4" s="7" t="s">
        <v>16</v>
      </c>
      <c r="B4" s="8">
        <f>COUNTA(Help_Log!B:B)-1</f>
        <v>0</v>
      </c>
    </row>
    <row r="5">
      <c r="A5" s="7" t="s">
        <v>17</v>
      </c>
      <c r="B5" s="8">
        <f>AVERAGE(Student_Summary!E:E)</f>
        <v>0</v>
      </c>
    </row>
    <row r="6">
      <c r="A6" s="7" t="s">
        <v>18</v>
      </c>
      <c r="B6" s="8">
        <f>COUNTIF(Student_Summary!E:E,0)</f>
        <v>56</v>
      </c>
    </row>
    <row r="7">
      <c r="A7" s="7" t="s">
        <v>19</v>
      </c>
      <c r="B7" s="8">
        <f>MAX(Student_Summary!E:E)</f>
        <v>0</v>
      </c>
    </row>
    <row r="8">
      <c r="A8" s="7" t="s">
        <v>20</v>
      </c>
      <c r="B8" s="8">
        <f>MIN(Student_Summary!E:E)</f>
        <v>0</v>
      </c>
    </row>
    <row r="10">
      <c r="A10" s="11" t="s">
        <v>21</v>
      </c>
      <c r="B10" s="12"/>
    </row>
    <row r="11">
      <c r="A11" s="7"/>
      <c r="B11" s="8"/>
    </row>
    <row r="12">
      <c r="A12" s="13" t="s">
        <v>2</v>
      </c>
      <c r="B12" s="14" t="s">
        <v>22</v>
      </c>
    </row>
    <row r="13">
      <c r="A13" s="7">
        <v>1</v>
      </c>
      <c r="B13" s="8">
        <f>COUNTIF(Help_Log!C:C,1)</f>
        <v>0</v>
      </c>
    </row>
    <row r="14">
      <c r="A14" s="7">
        <v>3</v>
      </c>
      <c r="B14" s="8">
        <f>COUNTIF(Help_Log!C:C,3)</f>
        <v>0</v>
      </c>
    </row>
    <row r="15">
      <c r="A15" s="7">
        <v>4</v>
      </c>
      <c r="B15" s="8">
        <f>COUNTIF(Help_Log!C:C,4)</f>
        <v>0</v>
      </c>
    </row>
    <row r="17">
      <c r="A17" s="11" t="s">
        <v>23</v>
      </c>
      <c r="B17" s="12"/>
    </row>
    <row r="18">
      <c r="A18" s="7"/>
      <c r="B18" s="8"/>
    </row>
    <row r="19">
      <c r="A19" s="13" t="s">
        <v>24</v>
      </c>
      <c r="B19" s="14" t="s">
        <v>25</v>
      </c>
    </row>
    <row r="20">
      <c r="A20" s="7" t="s">
        <v>26</v>
      </c>
      <c r="B20" s="8">
        <f>COUNTIF(Help_Log!E:E,1)</f>
        <v>0</v>
      </c>
    </row>
    <row r="21">
      <c r="A21" s="7" t="s">
        <v>27</v>
      </c>
      <c r="B21" s="8">
        <f>COUNTIF(Help_Log!E:E,2)</f>
        <v>0</v>
      </c>
    </row>
    <row r="23">
      <c r="A23" s="11" t="s">
        <v>28</v>
      </c>
      <c r="B23" s="12"/>
    </row>
    <row r="24">
      <c r="A24" s="7"/>
      <c r="B24" s="8"/>
    </row>
    <row r="25">
      <c r="A25" s="7" t="s">
        <v>29</v>
      </c>
      <c r="B25" s="8">
        <f>COUNTIF(Student_Summary!F:F,"Highly Engaged")</f>
        <v>0</v>
      </c>
    </row>
    <row r="26">
      <c r="A26" s="7" t="s">
        <v>30</v>
      </c>
      <c r="B26" s="8">
        <f>COUNTIF(Student_Summary!F:F,"Active")</f>
        <v>0</v>
      </c>
    </row>
    <row r="27">
      <c r="A27" s="7" t="s">
        <v>31</v>
      </c>
      <c r="B27" s="8">
        <f>COUNTIF(Student_Summary!F:F,"Moderate")</f>
        <v>0</v>
      </c>
    </row>
    <row r="28">
      <c r="A28" s="7" t="s">
        <v>32</v>
      </c>
      <c r="B28" s="8">
        <f>COUNTIF(Student_Summary!F:F,"Low")</f>
        <v>0</v>
      </c>
    </row>
    <row r="29">
      <c r="A29" s="7" t="s">
        <v>33</v>
      </c>
      <c r="B29" s="8">
        <f>COUNTIF(Student_Summary!F:F,"None")</f>
        <v>56</v>
      </c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4">
    <mergeCell ref="A1:B1"/>
    <mergeCell ref="A10:B10"/>
    <mergeCell ref="A17:B17"/>
    <mergeCell ref="A23:B2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defaultRowHeight="15"/>
  <cols>
    <col customWidth="1" min="1" max="1" width="20.28125"/>
    <col customWidth="1" min="2" max="2" width="9.00390625"/>
    <col customWidth="1" min="3" max="3" width="11.57421875"/>
    <col customWidth="1" min="4" max="4" width="11.7109375"/>
    <col customWidth="1" min="5" max="5" width="11.8515625"/>
  </cols>
  <sheetData>
    <row r="1">
      <c r="A1" t="s">
        <v>1</v>
      </c>
      <c r="B1" t="s">
        <v>2</v>
      </c>
      <c r="C1" t="s">
        <v>34</v>
      </c>
      <c r="D1" t="s">
        <v>35</v>
      </c>
      <c r="E1" t="s">
        <v>36</v>
      </c>
      <c r="F1" t="s">
        <v>37</v>
      </c>
    </row>
    <row r="2">
      <c r="A2" t="str">
        <f>Roster!A2</f>
        <v xml:space="preserve">Bryson Bargas</v>
      </c>
      <c r="B2">
        <f>IFERROR(INDEX(Roster!B:B,MATCH(A2,Roster!A:A,0)),"")</f>
        <v>1</v>
      </c>
      <c r="C2">
        <f>COUNTIFS(Help_Log!B:B,A2,Help_Log!E:E,1)</f>
        <v>0</v>
      </c>
      <c r="D2">
        <f>COUNTIFS(Help_Log!B:B,A2,Help_Log!E:E,2)</f>
        <v>0</v>
      </c>
      <c r="E2">
        <f>C2+(D2*2)</f>
        <v>0</v>
      </c>
      <c r="F2" t="str">
        <f>IF(E2=0,"None",IF(E2&lt;=2,"Low",IF(E2&lt;=6,"Moderate",IF(E2&lt;=12,"Active","Highly Engaged"))))</f>
        <v>None</v>
      </c>
    </row>
    <row r="3">
      <c r="A3" t="str">
        <f>Roster!A3</f>
        <v xml:space="preserve">Jacob Batton</v>
      </c>
      <c r="B3">
        <f>IFERROR(INDEX(Roster!B:B,MATCH(A3,Roster!A:A,0)),"")</f>
        <v>1</v>
      </c>
      <c r="C3">
        <f>COUNTIFS(Help_Log!B:B,A3,Help_Log!E:E,1)</f>
        <v>0</v>
      </c>
      <c r="D3">
        <f>COUNTIFS(Help_Log!B:B,A3,Help_Log!E:E,2)</f>
        <v>0</v>
      </c>
      <c r="E3">
        <f>C3+(D3*2)</f>
        <v>0</v>
      </c>
      <c r="F3" t="str">
        <f>IF(E3=0,"None",IF(E3&lt;=2,"Low",IF(E3&lt;=6,"Moderate",IF(E3&lt;=12,"Active","Highly Engaged"))))</f>
        <v>None</v>
      </c>
    </row>
    <row r="4">
      <c r="A4" t="str">
        <f>Roster!A4</f>
        <v xml:space="preserve">Noah Boggers</v>
      </c>
      <c r="B4">
        <f>IFERROR(INDEX(Roster!B:B,MATCH(A4,Roster!A:A,0)),"")</f>
        <v>1</v>
      </c>
      <c r="C4">
        <f>COUNTIFS(Help_Log!B:B,A4,Help_Log!E:E,1)</f>
        <v>0</v>
      </c>
      <c r="D4">
        <f>COUNTIFS(Help_Log!B:B,A4,Help_Log!E:E,2)</f>
        <v>0</v>
      </c>
      <c r="E4">
        <f>C4+(D4*2)</f>
        <v>0</v>
      </c>
      <c r="F4" t="str">
        <f>IF(E4=0,"None",IF(E4&lt;=2,"Low",IF(E4&lt;=6,"Moderate",IF(E4&lt;=12,"Active","Highly Engaged"))))</f>
        <v>None</v>
      </c>
    </row>
    <row r="5">
      <c r="A5" t="str">
        <f>Roster!A5</f>
        <v xml:space="preserve">Mani Botla </v>
      </c>
      <c r="B5">
        <f>IFERROR(INDEX(Roster!B:B,MATCH(A5,Roster!A:A,0)),"")</f>
        <v>1</v>
      </c>
      <c r="C5">
        <f>COUNTIFS(Help_Log!B:B,A5,Help_Log!E:E,1)</f>
        <v>0</v>
      </c>
      <c r="D5">
        <f>COUNTIFS(Help_Log!B:B,A5,Help_Log!E:E,2)</f>
        <v>0</v>
      </c>
      <c r="E5">
        <f>C5+(D5*2)</f>
        <v>0</v>
      </c>
      <c r="F5" t="str">
        <f>IF(E5=0,"None",IF(E5&lt;=2,"Low",IF(E5&lt;=6,"Moderate",IF(E5&lt;=12,"Active","Highly Engaged"))))</f>
        <v>None</v>
      </c>
    </row>
    <row r="6">
      <c r="A6" t="str">
        <f>Roster!A6</f>
        <v xml:space="preserve">Joseph Dye</v>
      </c>
      <c r="B6">
        <f>IFERROR(INDEX(Roster!B:B,MATCH(A6,Roster!A:A,0)),"")</f>
        <v>1</v>
      </c>
      <c r="C6">
        <f>COUNTIFS(Help_Log!B:B,A6,Help_Log!E:E,1)</f>
        <v>0</v>
      </c>
      <c r="D6">
        <f>COUNTIFS(Help_Log!B:B,A6,Help_Log!E:E,2)</f>
        <v>0</v>
      </c>
      <c r="E6">
        <f>C6+(D6*2)</f>
        <v>0</v>
      </c>
      <c r="F6" t="str">
        <f>IF(E6=0,"None",IF(E6&lt;=2,"Low",IF(E6&lt;=6,"Moderate",IF(E6&lt;=12,"Active","Highly Engaged"))))</f>
        <v>None</v>
      </c>
    </row>
    <row r="7">
      <c r="A7" t="str">
        <f>Roster!A7</f>
        <v xml:space="preserve">Simon Glashauser</v>
      </c>
      <c r="B7">
        <f>IFERROR(INDEX(Roster!B:B,MATCH(A7,Roster!A:A,0)),"")</f>
        <v>1</v>
      </c>
      <c r="C7">
        <f>COUNTIFS(Help_Log!B:B,A7,Help_Log!E:E,1)</f>
        <v>0</v>
      </c>
      <c r="D7">
        <f>COUNTIFS(Help_Log!B:B,A7,Help_Log!E:E,2)</f>
        <v>0</v>
      </c>
      <c r="E7">
        <f>C7+(D7*2)</f>
        <v>0</v>
      </c>
      <c r="F7" t="str">
        <f>IF(E7=0,"None",IF(E7&lt;=2,"Low",IF(E7&lt;=6,"Moderate",IF(E7&lt;=12,"Active","Highly Engaged"))))</f>
        <v>None</v>
      </c>
    </row>
    <row r="8">
      <c r="A8" t="str">
        <f>Roster!A8</f>
        <v xml:space="preserve">Dante Haman</v>
      </c>
      <c r="B8">
        <f>IFERROR(INDEX(Roster!B:B,MATCH(A8,Roster!A:A,0)),"")</f>
        <v>1</v>
      </c>
      <c r="C8">
        <f>COUNTIFS(Help_Log!B:B,A8,Help_Log!E:E,1)</f>
        <v>0</v>
      </c>
      <c r="D8">
        <f>COUNTIFS(Help_Log!B:B,A8,Help_Log!E:E,2)</f>
        <v>0</v>
      </c>
      <c r="E8">
        <f>C8+(D8*2)</f>
        <v>0</v>
      </c>
      <c r="F8" t="str">
        <f>IF(E8=0,"None",IF(E8&lt;=2,"Low",IF(E8&lt;=6,"Moderate",IF(E8&lt;=12,"Active","Highly Engaged"))))</f>
        <v>None</v>
      </c>
    </row>
    <row r="9">
      <c r="A9" t="str">
        <f>Roster!A9</f>
        <v xml:space="preserve">Miller Kites</v>
      </c>
      <c r="B9">
        <f>IFERROR(INDEX(Roster!B:B,MATCH(A9,Roster!A:A,0)),"")</f>
        <v>1</v>
      </c>
      <c r="C9">
        <f>COUNTIFS(Help_Log!B:B,A9,Help_Log!E:E,1)</f>
        <v>0</v>
      </c>
      <c r="D9">
        <f>COUNTIFS(Help_Log!B:B,A9,Help_Log!E:E,2)</f>
        <v>0</v>
      </c>
      <c r="E9">
        <f>C9+(D9*2)</f>
        <v>0</v>
      </c>
      <c r="F9" t="str">
        <f>IF(E9=0,"None",IF(E9&lt;=2,"Low",IF(E9&lt;=6,"Moderate",IF(E9&lt;=12,"Active","Highly Engaged"))))</f>
        <v>None</v>
      </c>
    </row>
    <row r="10">
      <c r="A10" t="str">
        <f>Roster!A10</f>
        <v xml:space="preserve">Nicholas Liverett</v>
      </c>
      <c r="B10">
        <f>IFERROR(INDEX(Roster!B:B,MATCH(A10,Roster!A:A,0)),"")</f>
        <v>1</v>
      </c>
      <c r="C10">
        <f>COUNTIFS(Help_Log!B:B,A10,Help_Log!E:E,1)</f>
        <v>0</v>
      </c>
      <c r="D10">
        <f>COUNTIFS(Help_Log!B:B,A10,Help_Log!E:E,2)</f>
        <v>0</v>
      </c>
      <c r="E10">
        <f>C10+(D10*2)</f>
        <v>0</v>
      </c>
      <c r="F10" t="str">
        <f>IF(E10=0,"None",IF(E10&lt;=2,"Low",IF(E10&lt;=6,"Moderate",IF(E10&lt;=12,"Active","Highly Engaged"))))</f>
        <v>None</v>
      </c>
    </row>
    <row r="11">
      <c r="A11" t="str">
        <f>Roster!A11</f>
        <v xml:space="preserve">Patriya Murray </v>
      </c>
      <c r="B11">
        <f>IFERROR(INDEX(Roster!B:B,MATCH(A11,Roster!A:A,0)),"")</f>
        <v>1</v>
      </c>
      <c r="C11">
        <f>COUNTIFS(Help_Log!B:B,A11,Help_Log!E:E,1)</f>
        <v>0</v>
      </c>
      <c r="D11">
        <f>COUNTIFS(Help_Log!B:B,A11,Help_Log!E:E,2)</f>
        <v>0</v>
      </c>
      <c r="E11">
        <f>C11+(D11*2)</f>
        <v>0</v>
      </c>
      <c r="F11" t="str">
        <f>IF(E11=0,"None",IF(E11&lt;=2,"Low",IF(E11&lt;=6,"Moderate",IF(E11&lt;=12,"Active","Highly Engaged"))))</f>
        <v>None</v>
      </c>
    </row>
    <row r="12">
      <c r="A12" t="str">
        <f>Roster!A12</f>
        <v xml:space="preserve">Alex Patel</v>
      </c>
      <c r="B12">
        <f>IFERROR(INDEX(Roster!B:B,MATCH(A12,Roster!A:A,0)),"")</f>
        <v>1</v>
      </c>
      <c r="C12">
        <f>COUNTIFS(Help_Log!B:B,A12,Help_Log!E:E,1)</f>
        <v>0</v>
      </c>
      <c r="D12">
        <f>COUNTIFS(Help_Log!B:B,A12,Help_Log!E:E,2)</f>
        <v>0</v>
      </c>
      <c r="E12">
        <f>C12+(D12*2)</f>
        <v>0</v>
      </c>
      <c r="F12" t="str">
        <f>IF(E12=0,"None",IF(E12&lt;=2,"Low",IF(E12&lt;=6,"Moderate",IF(E12&lt;=12,"Active","Highly Engaged"))))</f>
        <v>None</v>
      </c>
    </row>
    <row r="13">
      <c r="A13" t="str">
        <f>Roster!A13</f>
        <v xml:space="preserve">Nick Russel</v>
      </c>
      <c r="B13">
        <f>IFERROR(INDEX(Roster!B:B,MATCH(A13,Roster!A:A,0)),"")</f>
        <v>1</v>
      </c>
      <c r="C13">
        <f>COUNTIFS(Help_Log!B:B,A13,Help_Log!E:E,1)</f>
        <v>0</v>
      </c>
      <c r="D13">
        <f>COUNTIFS(Help_Log!B:B,A13,Help_Log!E:E,2)</f>
        <v>0</v>
      </c>
      <c r="E13">
        <f>C13+(D13*2)</f>
        <v>0</v>
      </c>
      <c r="F13" t="str">
        <f>IF(E13=0,"None",IF(E13&lt;=2,"Low",IF(E13&lt;=6,"Moderate",IF(E13&lt;=12,"Active","Highly Engaged"))))</f>
        <v>None</v>
      </c>
    </row>
    <row r="14">
      <c r="A14" t="str">
        <f>Roster!A14</f>
        <v xml:space="preserve">Franklin Sintic</v>
      </c>
      <c r="B14">
        <f>IFERROR(INDEX(Roster!B:B,MATCH(A14,Roster!A:A,0)),"")</f>
        <v>1</v>
      </c>
      <c r="C14">
        <f>COUNTIFS(Help_Log!B:B,A14,Help_Log!E:E,1)</f>
        <v>0</v>
      </c>
      <c r="D14">
        <f>COUNTIFS(Help_Log!B:B,A14,Help_Log!E:E,2)</f>
        <v>0</v>
      </c>
      <c r="E14">
        <f>C14+(D14*2)</f>
        <v>0</v>
      </c>
      <c r="F14" t="str">
        <f>IF(E14=0,"None",IF(E14&lt;=2,"Low",IF(E14&lt;=6,"Moderate",IF(E14&lt;=12,"Active","Highly Engaged"))))</f>
        <v>None</v>
      </c>
    </row>
    <row r="15">
      <c r="A15" t="str">
        <f>Roster!A15</f>
        <v xml:space="preserve">Anissa Sollman</v>
      </c>
      <c r="B15">
        <f>IFERROR(INDEX(Roster!B:B,MATCH(A15,Roster!A:A,0)),"")</f>
        <v>1</v>
      </c>
      <c r="C15">
        <f>COUNTIFS(Help_Log!B:B,A15,Help_Log!E:E,1)</f>
        <v>0</v>
      </c>
      <c r="D15">
        <f>COUNTIFS(Help_Log!B:B,A15,Help_Log!E:E,2)</f>
        <v>0</v>
      </c>
      <c r="E15">
        <f>C15+(D15*2)</f>
        <v>0</v>
      </c>
      <c r="F15" t="str">
        <f>IF(E15=0,"None",IF(E15&lt;=2,"Low",IF(E15&lt;=6,"Moderate",IF(E15&lt;=12,"Active","Highly Engaged"))))</f>
        <v>None</v>
      </c>
    </row>
    <row r="16">
      <c r="A16" t="str">
        <f>Roster!A16</f>
        <v xml:space="preserve">Mason Thomas </v>
      </c>
      <c r="B16">
        <f>IFERROR(INDEX(Roster!B:B,MATCH(A16,Roster!A:A,0)),"")</f>
        <v>1</v>
      </c>
      <c r="C16">
        <f>COUNTIFS(Help_Log!B:B,A16,Help_Log!E:E,1)</f>
        <v>0</v>
      </c>
      <c r="D16">
        <f>COUNTIFS(Help_Log!B:B,A16,Help_Log!E:E,2)</f>
        <v>0</v>
      </c>
      <c r="E16">
        <f>C16+(D16*2)</f>
        <v>0</v>
      </c>
      <c r="F16" t="str">
        <f>IF(E16=0,"None",IF(E16&lt;=2,"Low",IF(E16&lt;=6,"Moderate",IF(E16&lt;=12,"Active","Highly Engaged"))))</f>
        <v>None</v>
      </c>
    </row>
    <row r="17">
      <c r="A17" t="str">
        <f>Roster!A17</f>
        <v xml:space="preserve">Brody Walker</v>
      </c>
      <c r="B17">
        <f>IFERROR(INDEX(Roster!B:B,MATCH(A17,Roster!A:A,0)),"")</f>
        <v>1</v>
      </c>
      <c r="C17">
        <f>COUNTIFS(Help_Log!B:B,A17,Help_Log!E:E,1)</f>
        <v>0</v>
      </c>
      <c r="D17">
        <f>COUNTIFS(Help_Log!B:B,A17,Help_Log!E:E,2)</f>
        <v>0</v>
      </c>
      <c r="E17">
        <f>C17+(D17*2)</f>
        <v>0</v>
      </c>
      <c r="F17" t="str">
        <f>IF(E17=0,"None",IF(E17&lt;=2,"Low",IF(E17&lt;=6,"Moderate",IF(E17&lt;=12,"Active","Highly Engaged"))))</f>
        <v>None</v>
      </c>
    </row>
    <row r="18">
      <c r="A18" t="str">
        <f>Roster!A18</f>
        <v xml:space="preserve">Nevaeh Zumbrun</v>
      </c>
      <c r="B18">
        <f>IFERROR(INDEX(Roster!B:B,MATCH(A18,Roster!A:A,0)),"")</f>
        <v>1</v>
      </c>
      <c r="C18">
        <f>COUNTIFS(Help_Log!B:B,A18,Help_Log!E:E,1)</f>
        <v>0</v>
      </c>
      <c r="D18">
        <f>COUNTIFS(Help_Log!B:B,A18,Help_Log!E:E,2)</f>
        <v>0</v>
      </c>
      <c r="E18">
        <f>C18+(D18*2)</f>
        <v>0</v>
      </c>
      <c r="F18" t="str">
        <f>IF(E18=0,"None",IF(E18&lt;=2,"Low",IF(E18&lt;=6,"Moderate",IF(E18&lt;=12,"Active","Highly Engaged"))))</f>
        <v>None</v>
      </c>
    </row>
    <row r="19">
      <c r="A19" t="str">
        <f>Roster!A19</f>
        <v xml:space="preserve">Cameron Baily</v>
      </c>
      <c r="B19">
        <f>IFERROR(INDEX(Roster!B:B,MATCH(A19,Roster!A:A,0)),"")</f>
        <v>2</v>
      </c>
      <c r="C19">
        <f>COUNTIFS(Help_Log!B:B,A19,Help_Log!E:E,1)</f>
        <v>0</v>
      </c>
      <c r="D19">
        <f>COUNTIFS(Help_Log!B:B,A19,Help_Log!E:E,2)</f>
        <v>0</v>
      </c>
      <c r="E19">
        <f>C19+(D19*2)</f>
        <v>0</v>
      </c>
      <c r="F19" t="str">
        <f>IF(E19=0,"None",IF(E19&lt;=2,"Low",IF(E19&lt;=6,"Moderate",IF(E19&lt;=12,"Active","Highly Engaged"))))</f>
        <v>None</v>
      </c>
    </row>
    <row r="20">
      <c r="A20" t="str">
        <f>Roster!A20</f>
        <v xml:space="preserve">Lydia Ballard</v>
      </c>
      <c r="B20">
        <f>IFERROR(INDEX(Roster!B:B,MATCH(A20,Roster!A:A,0)),"")</f>
        <v>2</v>
      </c>
      <c r="C20">
        <f>COUNTIFS(Help_Log!B:B,A20,Help_Log!E:E,1)</f>
        <v>0</v>
      </c>
      <c r="D20">
        <f>COUNTIFS(Help_Log!B:B,A20,Help_Log!E:E,2)</f>
        <v>0</v>
      </c>
      <c r="E20">
        <f>C20+(D20*2)</f>
        <v>0</v>
      </c>
      <c r="F20" t="str">
        <f>IF(E20=0,"None",IF(E20&lt;=2,"Low",IF(E20&lt;=6,"Moderate",IF(E20&lt;=12,"Active","Highly Engaged"))))</f>
        <v>None</v>
      </c>
    </row>
    <row r="21">
      <c r="A21" t="str">
        <f>Roster!A21</f>
        <v xml:space="preserve">Jason Brown</v>
      </c>
      <c r="B21">
        <f>IFERROR(INDEX(Roster!B:B,MATCH(A21,Roster!A:A,0)),"")</f>
        <v>2</v>
      </c>
      <c r="C21">
        <f>COUNTIFS(Help_Log!B:B,A21,Help_Log!E:E,1)</f>
        <v>0</v>
      </c>
      <c r="D21">
        <f>COUNTIFS(Help_Log!B:B,A21,Help_Log!E:E,2)</f>
        <v>0</v>
      </c>
      <c r="E21">
        <f>C21+(D21*2)</f>
        <v>0</v>
      </c>
      <c r="F21" t="str">
        <f>IF(E21=0,"None",IF(E21&lt;=2,"Low",IF(E21&lt;=6,"Moderate",IF(E21&lt;=12,"Active","Highly Engaged"))))</f>
        <v>None</v>
      </c>
    </row>
    <row r="22">
      <c r="A22" t="str">
        <f>Roster!A22</f>
        <v xml:space="preserve">Noble Carpenter</v>
      </c>
      <c r="B22">
        <f>IFERROR(INDEX(Roster!B:B,MATCH(A22,Roster!A:A,0)),"")</f>
        <v>2</v>
      </c>
      <c r="C22">
        <f>COUNTIFS(Help_Log!B:B,A22,Help_Log!E:E,1)</f>
        <v>0</v>
      </c>
      <c r="D22">
        <f>COUNTIFS(Help_Log!B:B,A22,Help_Log!E:E,2)</f>
        <v>0</v>
      </c>
      <c r="E22">
        <f>C22+(D22*2)</f>
        <v>0</v>
      </c>
      <c r="F22" t="str">
        <f>IF(E22=0,"None",IF(E22&lt;=2,"Low",IF(E22&lt;=6,"Moderate",IF(E22&lt;=12,"Active","Highly Engaged"))))</f>
        <v>None</v>
      </c>
    </row>
    <row r="23">
      <c r="A23" t="str">
        <f>Roster!A23</f>
        <v xml:space="preserve">Jamal Crocker</v>
      </c>
      <c r="B23">
        <f>IFERROR(INDEX(Roster!B:B,MATCH(A23,Roster!A:A,0)),"")</f>
        <v>2</v>
      </c>
      <c r="C23">
        <f>COUNTIFS(Help_Log!B:B,A23,Help_Log!E:E,1)</f>
        <v>0</v>
      </c>
      <c r="D23">
        <f>COUNTIFS(Help_Log!B:B,A23,Help_Log!E:E,2)</f>
        <v>0</v>
      </c>
      <c r="E23">
        <f>C23+(D23*2)</f>
        <v>0</v>
      </c>
      <c r="F23" t="str">
        <f>IF(E23=0,"None",IF(E23&lt;=2,"Low",IF(E23&lt;=6,"Moderate",IF(E23&lt;=12,"Active","Highly Engaged"))))</f>
        <v>None</v>
      </c>
    </row>
    <row r="24">
      <c r="A24" t="str">
        <f>Roster!A24</f>
        <v xml:space="preserve">Ian Cronin </v>
      </c>
      <c r="B24">
        <f>IFERROR(INDEX(Roster!B:B,MATCH(A24,Roster!A:A,0)),"")</f>
        <v>2</v>
      </c>
      <c r="C24">
        <f>COUNTIFS(Help_Log!B:B,A24,Help_Log!E:E,1)</f>
        <v>0</v>
      </c>
      <c r="D24">
        <f>COUNTIFS(Help_Log!B:B,A24,Help_Log!E:E,2)</f>
        <v>0</v>
      </c>
      <c r="E24">
        <f>C24+(D24*2)</f>
        <v>0</v>
      </c>
      <c r="F24" t="str">
        <f>IF(E24=0,"None",IF(E24&lt;=2,"Low",IF(E24&lt;=6,"Moderate",IF(E24&lt;=12,"Active","Highly Engaged"))))</f>
        <v>None</v>
      </c>
    </row>
    <row r="25">
      <c r="A25" t="str">
        <f>Roster!A25</f>
        <v xml:space="preserve">Sydney Frisbee</v>
      </c>
      <c r="B25">
        <f>IFERROR(INDEX(Roster!B:B,MATCH(A25,Roster!A:A,0)),"")</f>
        <v>2</v>
      </c>
      <c r="C25">
        <f>COUNTIFS(Help_Log!B:B,A25,Help_Log!E:E,1)</f>
        <v>0</v>
      </c>
      <c r="D25">
        <f>COUNTIFS(Help_Log!B:B,A25,Help_Log!E:E,2)</f>
        <v>0</v>
      </c>
      <c r="E25">
        <f>C25+(D25*2)</f>
        <v>0</v>
      </c>
      <c r="F25" t="str">
        <f>IF(E25=0,"None",IF(E25&lt;=2,"Low",IF(E25&lt;=6,"Moderate",IF(E25&lt;=12,"Active","Highly Engaged"))))</f>
        <v>None</v>
      </c>
    </row>
    <row r="26">
      <c r="A26" t="str">
        <f>Roster!A26</f>
        <v xml:space="preserve">Will Hemphill</v>
      </c>
      <c r="B26">
        <f>IFERROR(INDEX(Roster!B:B,MATCH(A26,Roster!A:A,0)),"")</f>
        <v>2</v>
      </c>
      <c r="C26">
        <f>COUNTIFS(Help_Log!B:B,A26,Help_Log!E:E,1)</f>
        <v>0</v>
      </c>
      <c r="D26">
        <f>COUNTIFS(Help_Log!B:B,A26,Help_Log!E:E,2)</f>
        <v>0</v>
      </c>
      <c r="E26">
        <f>C26+(D26*2)</f>
        <v>0</v>
      </c>
      <c r="F26" t="str">
        <f>IF(E26=0,"None",IF(E26&lt;=2,"Low",IF(E26&lt;=6,"Moderate",IF(E26&lt;=12,"Active","Highly Engaged"))))</f>
        <v>None</v>
      </c>
    </row>
    <row r="27">
      <c r="A27" t="str">
        <f>Roster!A27</f>
        <v xml:space="preserve">Maximus Jessey</v>
      </c>
      <c r="B27">
        <f>IFERROR(INDEX(Roster!B:B,MATCH(A27,Roster!A:A,0)),"")</f>
        <v>2</v>
      </c>
      <c r="C27">
        <f>COUNTIFS(Help_Log!B:B,A27,Help_Log!E:E,1)</f>
        <v>0</v>
      </c>
      <c r="D27">
        <f>COUNTIFS(Help_Log!B:B,A27,Help_Log!E:E,2)</f>
        <v>0</v>
      </c>
      <c r="E27">
        <f>C27+(D27*2)</f>
        <v>0</v>
      </c>
      <c r="F27" t="str">
        <f>IF(E27=0,"None",IF(E27&lt;=2,"Low",IF(E27&lt;=6,"Moderate",IF(E27&lt;=12,"Active","Highly Engaged"))))</f>
        <v>None</v>
      </c>
    </row>
    <row r="28">
      <c r="A28" t="str">
        <f>Roster!A28</f>
        <v xml:space="preserve">Idris King </v>
      </c>
      <c r="B28">
        <f>IFERROR(INDEX(Roster!B:B,MATCH(A28,Roster!A:A,0)),"")</f>
        <v>2</v>
      </c>
      <c r="C28">
        <f>COUNTIFS(Help_Log!B:B,A28,Help_Log!E:E,1)</f>
        <v>0</v>
      </c>
      <c r="D28">
        <f>COUNTIFS(Help_Log!B:B,A28,Help_Log!E:E,2)</f>
        <v>0</v>
      </c>
      <c r="E28">
        <f>C28+(D28*2)</f>
        <v>0</v>
      </c>
      <c r="F28" t="str">
        <f>IF(E28=0,"None",IF(E28&lt;=2,"Low",IF(E28&lt;=6,"Moderate",IF(E28&lt;=12,"Active","Highly Engaged"))))</f>
        <v>None</v>
      </c>
    </row>
    <row r="29">
      <c r="A29" t="str">
        <f>Roster!A29</f>
        <v xml:space="preserve">Bryce Lander</v>
      </c>
      <c r="B29">
        <f>IFERROR(INDEX(Roster!B:B,MATCH(A29,Roster!A:A,0)),"")</f>
        <v>2</v>
      </c>
      <c r="C29">
        <f>COUNTIFS(Help_Log!B:B,A29,Help_Log!E:E,1)</f>
        <v>0</v>
      </c>
      <c r="D29">
        <f>COUNTIFS(Help_Log!B:B,A29,Help_Log!E:E,2)</f>
        <v>0</v>
      </c>
      <c r="E29">
        <f>C29+(D29*2)</f>
        <v>0</v>
      </c>
      <c r="F29" t="str">
        <f>IF(E29=0,"None",IF(E29&lt;=2,"Low",IF(E29&lt;=6,"Moderate",IF(E29&lt;=12,"Active","Highly Engaged"))))</f>
        <v>None</v>
      </c>
    </row>
    <row r="30">
      <c r="A30" t="str">
        <f>Roster!A30</f>
        <v xml:space="preserve">Hoang Le</v>
      </c>
      <c r="B30">
        <f>IFERROR(INDEX(Roster!B:B,MATCH(A30,Roster!A:A,0)),"")</f>
        <v>2</v>
      </c>
      <c r="C30">
        <f>COUNTIFS(Help_Log!B:B,A30,Help_Log!E:E,1)</f>
        <v>0</v>
      </c>
      <c r="D30">
        <f>COUNTIFS(Help_Log!B:B,A30,Help_Log!E:E,2)</f>
        <v>0</v>
      </c>
      <c r="E30">
        <f>C30+(D30*2)</f>
        <v>0</v>
      </c>
      <c r="F30" t="str">
        <f>IF(E30=0,"None",IF(E30&lt;=2,"Low",IF(E30&lt;=6,"Moderate",IF(E30&lt;=12,"Active","Highly Engaged"))))</f>
        <v>None</v>
      </c>
    </row>
    <row r="31">
      <c r="A31" t="str">
        <f>Roster!A31</f>
        <v xml:space="preserve">Nathan Mcclure</v>
      </c>
      <c r="B31">
        <f>IFERROR(INDEX(Roster!B:B,MATCH(A31,Roster!A:A,0)),"")</f>
        <v>2</v>
      </c>
      <c r="C31">
        <f>COUNTIFS(Help_Log!B:B,A31,Help_Log!E:E,1)</f>
        <v>0</v>
      </c>
      <c r="D31">
        <f>COUNTIFS(Help_Log!B:B,A31,Help_Log!E:E,2)</f>
        <v>0</v>
      </c>
      <c r="E31">
        <f>C31+(D31*2)</f>
        <v>0</v>
      </c>
      <c r="F31" t="str">
        <f>IF(E31=0,"None",IF(E31&lt;=2,"Low",IF(E31&lt;=6,"Moderate",IF(E31&lt;=12,"Active","Highly Engaged"))))</f>
        <v>None</v>
      </c>
    </row>
    <row r="32">
      <c r="A32" t="str">
        <f>Roster!A32</f>
        <v xml:space="preserve">Rickey Newbold</v>
      </c>
      <c r="B32">
        <f>IFERROR(INDEX(Roster!B:B,MATCH(A32,Roster!A:A,0)),"")</f>
        <v>2</v>
      </c>
      <c r="C32">
        <f>COUNTIFS(Help_Log!B:B,A32,Help_Log!E:E,1)</f>
        <v>0</v>
      </c>
      <c r="D32">
        <f>COUNTIFS(Help_Log!B:B,A32,Help_Log!E:E,2)</f>
        <v>0</v>
      </c>
      <c r="E32">
        <f>C32+(D32*2)</f>
        <v>0</v>
      </c>
      <c r="F32" t="str">
        <f>IF(E32=0,"None",IF(E32&lt;=2,"Low",IF(E32&lt;=6,"Moderate",IF(E32&lt;=12,"Active","Highly Engaged"))))</f>
        <v>None</v>
      </c>
    </row>
    <row r="33">
      <c r="A33" t="str">
        <f>Roster!A33</f>
        <v xml:space="preserve">Wesley Ni</v>
      </c>
      <c r="B33">
        <f>IFERROR(INDEX(Roster!B:B,MATCH(A33,Roster!A:A,0)),"")</f>
        <v>2</v>
      </c>
      <c r="C33">
        <f>COUNTIFS(Help_Log!B:B,A33,Help_Log!E:E,1)</f>
        <v>0</v>
      </c>
      <c r="D33">
        <f>COUNTIFS(Help_Log!B:B,A33,Help_Log!E:E,2)</f>
        <v>0</v>
      </c>
      <c r="E33">
        <f>C33+(D33*2)</f>
        <v>0</v>
      </c>
      <c r="F33" t="str">
        <f>IF(E33=0,"None",IF(E33&lt;=2,"Low",IF(E33&lt;=6,"Moderate",IF(E33&lt;=12,"Active","Highly Engaged"))))</f>
        <v>None</v>
      </c>
    </row>
    <row r="34">
      <c r="A34" t="str">
        <f>Roster!A34</f>
        <v xml:space="preserve">Preston Page </v>
      </c>
      <c r="B34">
        <f>IFERROR(INDEX(Roster!B:B,MATCH(A34,Roster!A:A,0)),"")</f>
        <v>2</v>
      </c>
      <c r="C34">
        <f>COUNTIFS(Help_Log!B:B,A34,Help_Log!E:E,1)</f>
        <v>0</v>
      </c>
      <c r="D34">
        <f>COUNTIFS(Help_Log!B:B,A34,Help_Log!E:E,2)</f>
        <v>0</v>
      </c>
      <c r="E34">
        <f>C34+(D34*2)</f>
        <v>0</v>
      </c>
      <c r="F34" t="str">
        <f>IF(E34=0,"None",IF(E34&lt;=2,"Low",IF(E34&lt;=6,"Moderate",IF(E34&lt;=12,"Active","Highly Engaged"))))</f>
        <v>None</v>
      </c>
    </row>
    <row r="35">
      <c r="A35" t="str">
        <f>Roster!A35</f>
        <v xml:space="preserve">Megh Patel </v>
      </c>
      <c r="B35">
        <f>IFERROR(INDEX(Roster!B:B,MATCH(A35,Roster!A:A,0)),"")</f>
        <v>2</v>
      </c>
      <c r="C35">
        <f>COUNTIFS(Help_Log!B:B,A35,Help_Log!E:E,1)</f>
        <v>0</v>
      </c>
      <c r="D35">
        <f>COUNTIFS(Help_Log!B:B,A35,Help_Log!E:E,2)</f>
        <v>0</v>
      </c>
      <c r="E35">
        <f>C35+(D35*2)</f>
        <v>0</v>
      </c>
      <c r="F35" t="str">
        <f>IF(E35=0,"None",IF(E35&lt;=2,"Low",IF(E35&lt;=6,"Moderate",IF(E35&lt;=12,"Active","Highly Engaged"))))</f>
        <v>None</v>
      </c>
    </row>
    <row r="36">
      <c r="A36" t="str">
        <f>Roster!A36</f>
        <v xml:space="preserve">Bryant Peden</v>
      </c>
      <c r="B36">
        <f>IFERROR(INDEX(Roster!B:B,MATCH(A36,Roster!A:A,0)),"")</f>
        <v>2</v>
      </c>
      <c r="C36">
        <f>COUNTIFS(Help_Log!B:B,A36,Help_Log!E:E,1)</f>
        <v>0</v>
      </c>
      <c r="D36">
        <f>COUNTIFS(Help_Log!B:B,A36,Help_Log!E:E,2)</f>
        <v>0</v>
      </c>
      <c r="E36">
        <f>C36+(D36*2)</f>
        <v>0</v>
      </c>
      <c r="F36" t="str">
        <f>IF(E36=0,"None",IF(E36&lt;=2,"Low",IF(E36&lt;=6,"Moderate",IF(E36&lt;=12,"Active","Highly Engaged"))))</f>
        <v>None</v>
      </c>
    </row>
    <row r="37">
      <c r="A37" t="str">
        <f>Roster!A37</f>
        <v xml:space="preserve">Vincent Pestilli</v>
      </c>
      <c r="B37">
        <f>IFERROR(INDEX(Roster!B:B,MATCH(A37,Roster!A:A,0)),"")</f>
        <v>2</v>
      </c>
      <c r="C37">
        <f>COUNTIFS(Help_Log!B:B,A37,Help_Log!E:E,1)</f>
        <v>0</v>
      </c>
      <c r="D37">
        <f>COUNTIFS(Help_Log!B:B,A37,Help_Log!E:E,2)</f>
        <v>0</v>
      </c>
      <c r="E37">
        <f>C37+(D37*2)</f>
        <v>0</v>
      </c>
      <c r="F37" t="str">
        <f>IF(E37=0,"None",IF(E37&lt;=2,"Low",IF(E37&lt;=6,"Moderate",IF(E37&lt;=12,"Active","Highly Engaged"))))</f>
        <v>None</v>
      </c>
    </row>
    <row r="38">
      <c r="A38" t="str">
        <f>Roster!A38</f>
        <v xml:space="preserve">Jacob Russell</v>
      </c>
      <c r="B38">
        <f>IFERROR(INDEX(Roster!B:B,MATCH(A38,Roster!A:A,0)),"")</f>
        <v>2</v>
      </c>
      <c r="C38">
        <f>COUNTIFS(Help_Log!B:B,A38,Help_Log!E:E,1)</f>
        <v>0</v>
      </c>
      <c r="D38">
        <f>COUNTIFS(Help_Log!B:B,A38,Help_Log!E:E,2)</f>
        <v>0</v>
      </c>
      <c r="E38">
        <f>C38+(D38*2)</f>
        <v>0</v>
      </c>
      <c r="F38" t="str">
        <f>IF(E38=0,"None",IF(E38&lt;=2,"Low",IF(E38&lt;=6,"Moderate",IF(E38&lt;=12,"Active","Highly Engaged"))))</f>
        <v>None</v>
      </c>
    </row>
    <row r="39">
      <c r="A39" t="str">
        <f>Roster!A39</f>
        <v xml:space="preserve">Laurae Thaete</v>
      </c>
      <c r="B39">
        <f>IFERROR(INDEX(Roster!B:B,MATCH(A39,Roster!A:A,0)),"")</f>
        <v>2</v>
      </c>
      <c r="C39">
        <f>COUNTIFS(Help_Log!B:B,A39,Help_Log!E:E,1)</f>
        <v>0</v>
      </c>
      <c r="D39">
        <f>COUNTIFS(Help_Log!B:B,A39,Help_Log!E:E,2)</f>
        <v>0</v>
      </c>
      <c r="E39">
        <f>C39+(D39*2)</f>
        <v>0</v>
      </c>
      <c r="F39" t="str">
        <f>IF(E39=0,"None",IF(E39&lt;=2,"Low",IF(E39&lt;=6,"Moderate",IF(E39&lt;=12,"Active","Highly Engaged"))))</f>
        <v>None</v>
      </c>
    </row>
    <row r="40">
      <c r="A40" t="str">
        <f>Roster!A40</f>
        <v xml:space="preserve">Teagan Tobias</v>
      </c>
      <c r="B40">
        <f>IFERROR(INDEX(Roster!B:B,MATCH(A40,Roster!A:A,0)),"")</f>
        <v>2</v>
      </c>
      <c r="C40">
        <f>COUNTIFS(Help_Log!B:B,A40,Help_Log!E:E,1)</f>
        <v>0</v>
      </c>
      <c r="D40">
        <f>COUNTIFS(Help_Log!B:B,A40,Help_Log!E:E,2)</f>
        <v>0</v>
      </c>
      <c r="E40">
        <f>C40+(D40*2)</f>
        <v>0</v>
      </c>
      <c r="F40" t="str">
        <f>IF(E40=0,"None",IF(E40&lt;=2,"Low",IF(E40&lt;=6,"Moderate",IF(E40&lt;=12,"Active","Highly Engaged"))))</f>
        <v>None</v>
      </c>
    </row>
    <row r="41">
      <c r="A41" t="str">
        <f>Roster!A41</f>
        <v xml:space="preserve">Braylon Trail</v>
      </c>
      <c r="B41">
        <f>IFERROR(INDEX(Roster!B:B,MATCH(A41,Roster!A:A,0)),"")</f>
        <v>2</v>
      </c>
      <c r="C41">
        <f>COUNTIFS(Help_Log!B:B,A41,Help_Log!E:E,1)</f>
        <v>0</v>
      </c>
      <c r="D41">
        <f>COUNTIFS(Help_Log!B:B,A41,Help_Log!E:E,2)</f>
        <v>0</v>
      </c>
      <c r="E41">
        <f>C41+(D41*2)</f>
        <v>0</v>
      </c>
      <c r="F41" t="str">
        <f>IF(E41=0,"None",IF(E41&lt;=2,"Low",IF(E41&lt;=6,"Moderate",IF(E41&lt;=12,"Active","Highly Engaged"))))</f>
        <v>None</v>
      </c>
    </row>
    <row r="42">
      <c r="A42" t="str">
        <f>Roster!A42</f>
        <v xml:space="preserve">Marcus Vanwerry </v>
      </c>
      <c r="B42">
        <f>IFERROR(INDEX(Roster!B:B,MATCH(A42,Roster!A:A,0)),"")</f>
        <v>2</v>
      </c>
      <c r="C42">
        <f>COUNTIFS(Help_Log!B:B,A42,Help_Log!E:E,1)</f>
        <v>0</v>
      </c>
      <c r="D42">
        <f>COUNTIFS(Help_Log!B:B,A42,Help_Log!E:E,2)</f>
        <v>0</v>
      </c>
      <c r="E42">
        <f>C42+(D42*2)</f>
        <v>0</v>
      </c>
      <c r="F42" t="str">
        <f>IF(E42=0,"None",IF(E42&lt;=2,"Low",IF(E42&lt;=6,"Moderate",IF(E42&lt;=12,"Active","Highly Engaged"))))</f>
        <v>None</v>
      </c>
    </row>
    <row r="43">
      <c r="A43" t="str">
        <f>Roster!A43</f>
        <v xml:space="preserve">Lewis Walldorf</v>
      </c>
      <c r="B43">
        <f>IFERROR(INDEX(Roster!B:B,MATCH(A43,Roster!A:A,0)),"")</f>
        <v>2</v>
      </c>
      <c r="C43">
        <f>COUNTIFS(Help_Log!B:B,A43,Help_Log!E:E,1)</f>
        <v>0</v>
      </c>
      <c r="D43">
        <f>COUNTIFS(Help_Log!B:B,A43,Help_Log!E:E,2)</f>
        <v>0</v>
      </c>
      <c r="E43">
        <f>C43+(D43*2)</f>
        <v>0</v>
      </c>
      <c r="F43" t="str">
        <f>IF(E43=0,"None",IF(E43&lt;=2,"Low",IF(E43&lt;=6,"Moderate",IF(E43&lt;=12,"Active","Highly Engaged"))))</f>
        <v>None</v>
      </c>
    </row>
    <row r="44">
      <c r="A44" t="str">
        <f>Roster!A44</f>
        <v xml:space="preserve">Ellie Williams</v>
      </c>
      <c r="B44">
        <f>IFERROR(INDEX(Roster!B:B,MATCH(A44,Roster!A:A,0)),"")</f>
        <v>2</v>
      </c>
      <c r="C44">
        <f>COUNTIFS(Help_Log!B:B,A44,Help_Log!E:E,1)</f>
        <v>0</v>
      </c>
      <c r="D44">
        <f>COUNTIFS(Help_Log!B:B,A44,Help_Log!E:E,2)</f>
        <v>0</v>
      </c>
      <c r="E44">
        <f>C44+(D44*2)</f>
        <v>0</v>
      </c>
      <c r="F44" t="str">
        <f>IF(E44=0,"None",IF(E44&lt;=2,"Low",IF(E44&lt;=6,"Moderate",IF(E44&lt;=12,"Active","Highly Engaged"))))</f>
        <v>None</v>
      </c>
    </row>
    <row r="45">
      <c r="A45" t="str">
        <f>Roster!A45</f>
        <v xml:space="preserve">Christian Winchester</v>
      </c>
      <c r="B45">
        <f>IFERROR(INDEX(Roster!B:B,MATCH(A45,Roster!A:A,0)),"")</f>
        <v>2</v>
      </c>
      <c r="C45">
        <f>COUNTIFS(Help_Log!B:B,A45,Help_Log!E:E,1)</f>
        <v>0</v>
      </c>
      <c r="D45">
        <f>COUNTIFS(Help_Log!B:B,A45,Help_Log!E:E,2)</f>
        <v>0</v>
      </c>
      <c r="E45">
        <f>C45+(D45*2)</f>
        <v>0</v>
      </c>
      <c r="F45" t="str">
        <f>IF(E45=0,"None",IF(E45&lt;=2,"Low",IF(E45&lt;=6,"Moderate",IF(E45&lt;=12,"Active","Highly Engaged"))))</f>
        <v>None</v>
      </c>
    </row>
    <row r="46">
      <c r="A46" t="str">
        <f>Roster!A46</f>
        <v xml:space="preserve">Adam Campbell</v>
      </c>
      <c r="B46">
        <f>IFERROR(INDEX(Roster!B:B,MATCH(A46,Roster!A:A,0)),"")</f>
        <v>3</v>
      </c>
      <c r="C46">
        <f>COUNTIFS(Help_Log!B:B,A46,Help_Log!E:E,1)</f>
        <v>0</v>
      </c>
      <c r="D46">
        <f>COUNTIFS(Help_Log!B:B,A46,Help_Log!E:E,2)</f>
        <v>0</v>
      </c>
      <c r="E46">
        <f>C46+(D46*2)</f>
        <v>0</v>
      </c>
      <c r="F46" t="str">
        <f>IF(E46=0,"None",IF(E46&lt;=2,"Low",IF(E46&lt;=6,"Moderate",IF(E46&lt;=12,"Active","Highly Engaged"))))</f>
        <v>None</v>
      </c>
    </row>
    <row r="47">
      <c r="A47" t="str">
        <f>Roster!A47</f>
        <v xml:space="preserve">Tim Chow</v>
      </c>
      <c r="B47">
        <f>IFERROR(INDEX(Roster!B:B,MATCH(A47,Roster!A:A,0)),"")</f>
        <v>3</v>
      </c>
      <c r="C47">
        <f>COUNTIFS(Help_Log!B:B,A47,Help_Log!E:E,1)</f>
        <v>0</v>
      </c>
      <c r="D47">
        <f>COUNTIFS(Help_Log!B:B,A47,Help_Log!E:E,2)</f>
        <v>0</v>
      </c>
      <c r="E47">
        <f>C47+(D47*2)</f>
        <v>0</v>
      </c>
      <c r="F47" t="str">
        <f>IF(E47=0,"None",IF(E47&lt;=2,"Low",IF(E47&lt;=6,"Moderate",IF(E47&lt;=12,"Active","Highly Engaged"))))</f>
        <v>None</v>
      </c>
    </row>
    <row r="48">
      <c r="A48" t="str">
        <f>Roster!A48</f>
        <v xml:space="preserve">Eli Desha </v>
      </c>
      <c r="B48">
        <f>IFERROR(INDEX(Roster!B:B,MATCH(A48,Roster!A:A,0)),"")</f>
        <v>3</v>
      </c>
      <c r="C48">
        <f>COUNTIFS(Help_Log!B:B,A48,Help_Log!E:E,1)</f>
        <v>0</v>
      </c>
      <c r="D48">
        <f>COUNTIFS(Help_Log!B:B,A48,Help_Log!E:E,2)</f>
        <v>0</v>
      </c>
      <c r="E48">
        <f>C48+(D48*2)</f>
        <v>0</v>
      </c>
      <c r="F48" t="str">
        <f>IF(E48=0,"None",IF(E48&lt;=2,"Low",IF(E48&lt;=6,"Moderate",IF(E48&lt;=12,"Active","Highly Engaged"))))</f>
        <v>None</v>
      </c>
    </row>
    <row r="49">
      <c r="A49" t="str">
        <f>Roster!A49</f>
        <v xml:space="preserve">Brady Gilder </v>
      </c>
      <c r="B49">
        <f>IFERROR(INDEX(Roster!B:B,MATCH(A49,Roster!A:A,0)),"")</f>
        <v>3</v>
      </c>
      <c r="C49">
        <f>COUNTIFS(Help_Log!B:B,A49,Help_Log!E:E,1)</f>
        <v>0</v>
      </c>
      <c r="D49">
        <f>COUNTIFS(Help_Log!B:B,A49,Help_Log!E:E,2)</f>
        <v>0</v>
      </c>
      <c r="E49">
        <f>C49+(D49*2)</f>
        <v>0</v>
      </c>
      <c r="F49" t="str">
        <f>IF(E49=0,"None",IF(E49&lt;=2,"Low",IF(E49&lt;=6,"Moderate",IF(E49&lt;=12,"Active","Highly Engaged"))))</f>
        <v>None</v>
      </c>
    </row>
    <row r="50">
      <c r="A50" t="str">
        <f>Roster!A50</f>
        <v xml:space="preserve">Tyler Gill </v>
      </c>
      <c r="B50">
        <f>IFERROR(INDEX(Roster!B:B,MATCH(A50,Roster!A:A,0)),"")</f>
        <v>3</v>
      </c>
      <c r="C50">
        <f>COUNTIFS(Help_Log!B:B,A50,Help_Log!E:E,1)</f>
        <v>0</v>
      </c>
      <c r="D50">
        <f>COUNTIFS(Help_Log!B:B,A50,Help_Log!E:E,2)</f>
        <v>0</v>
      </c>
      <c r="E50">
        <f>C50+(D50*2)</f>
        <v>0</v>
      </c>
      <c r="F50" t="str">
        <f>IF(E50=0,"None",IF(E50&lt;=2,"Low",IF(E50&lt;=6,"Moderate",IF(E50&lt;=12,"Active","Highly Engaged"))))</f>
        <v>None</v>
      </c>
    </row>
    <row r="51">
      <c r="A51" t="str">
        <f>Roster!A51</f>
        <v xml:space="preserve">Michael Lamberth </v>
      </c>
      <c r="B51">
        <f>IFERROR(INDEX(Roster!B:B,MATCH(A51,Roster!A:A,0)),"")</f>
        <v>3</v>
      </c>
      <c r="C51">
        <f>COUNTIFS(Help_Log!B:B,A51,Help_Log!E:E,1)</f>
        <v>0</v>
      </c>
      <c r="D51">
        <f>COUNTIFS(Help_Log!B:B,A51,Help_Log!E:E,2)</f>
        <v>0</v>
      </c>
      <c r="E51">
        <f>C51+(D51*2)</f>
        <v>0</v>
      </c>
      <c r="F51" t="str">
        <f>IF(E51=0,"None",IF(E51&lt;=2,"Low",IF(E51&lt;=6,"Moderate",IF(E51&lt;=12,"Active","Highly Engaged"))))</f>
        <v>None</v>
      </c>
    </row>
    <row r="52">
      <c r="A52" t="str">
        <f>Roster!A52</f>
        <v xml:space="preserve">Elliot Lindsey </v>
      </c>
      <c r="B52">
        <f>IFERROR(INDEX(Roster!B:B,MATCH(A52,Roster!A:A,0)),"")</f>
        <v>3</v>
      </c>
      <c r="C52">
        <f>COUNTIFS(Help_Log!B:B,A52,Help_Log!E:E,1)</f>
        <v>0</v>
      </c>
      <c r="D52">
        <f>COUNTIFS(Help_Log!B:B,A52,Help_Log!E:E,2)</f>
        <v>0</v>
      </c>
      <c r="E52">
        <f>C52+(D52*2)</f>
        <v>0</v>
      </c>
      <c r="F52" t="str">
        <f>IF(E52=0,"None",IF(E52&lt;=2,"Low",IF(E52&lt;=6,"Moderate",IF(E52&lt;=12,"Active","Highly Engaged"))))</f>
        <v>None</v>
      </c>
    </row>
    <row r="53">
      <c r="A53" t="str">
        <f>Roster!A53</f>
        <v xml:space="preserve">Sean Mcknight </v>
      </c>
      <c r="B53">
        <f>IFERROR(INDEX(Roster!B:B,MATCH(A53,Roster!A:A,0)),"")</f>
        <v>3</v>
      </c>
      <c r="C53">
        <f>COUNTIFS(Help_Log!B:B,A53,Help_Log!E:E,1)</f>
        <v>0</v>
      </c>
      <c r="D53">
        <f>COUNTIFS(Help_Log!B:B,A53,Help_Log!E:E,2)</f>
        <v>0</v>
      </c>
      <c r="E53">
        <f>C53+(D53*2)</f>
        <v>0</v>
      </c>
      <c r="F53" t="str">
        <f>IF(E53=0,"None",IF(E53&lt;=2,"Low",IF(E53&lt;=6,"Moderate",IF(E53&lt;=12,"Active","Highly Engaged"))))</f>
        <v>None</v>
      </c>
    </row>
    <row r="54">
      <c r="A54" t="str">
        <f>Roster!A54</f>
        <v xml:space="preserve">Philip Nguyen</v>
      </c>
      <c r="B54">
        <f>IFERROR(INDEX(Roster!B:B,MATCH(A54,Roster!A:A,0)),"")</f>
        <v>3</v>
      </c>
      <c r="C54">
        <f>COUNTIFS(Help_Log!B:B,A54,Help_Log!E:E,1)</f>
        <v>0</v>
      </c>
      <c r="D54">
        <f>COUNTIFS(Help_Log!B:B,A54,Help_Log!E:E,2)</f>
        <v>0</v>
      </c>
      <c r="E54">
        <f>C54+(D54*2)</f>
        <v>0</v>
      </c>
      <c r="F54" t="str">
        <f>IF(E54=0,"None",IF(E54&lt;=2,"Low",IF(E54&lt;=6,"Moderate",IF(E54&lt;=12,"Active","Highly Engaged"))))</f>
        <v>None</v>
      </c>
    </row>
    <row r="55">
      <c r="A55" t="str">
        <f>Roster!A55</f>
        <v xml:space="preserve">Erick Ramirez</v>
      </c>
      <c r="B55">
        <f>IFERROR(INDEX(Roster!B:B,MATCH(A55,Roster!A:A,0)),"")</f>
        <v>3</v>
      </c>
      <c r="C55">
        <f>COUNTIFS(Help_Log!B:B,A55,Help_Log!E:E,1)</f>
        <v>0</v>
      </c>
      <c r="D55">
        <f>COUNTIFS(Help_Log!B:B,A55,Help_Log!E:E,2)</f>
        <v>0</v>
      </c>
      <c r="E55">
        <f>C55+(D55*2)</f>
        <v>0</v>
      </c>
      <c r="F55" t="str">
        <f>IF(E55=0,"None",IF(E55&lt;=2,"Low",IF(E55&lt;=6,"Moderate",IF(E55&lt;=12,"Active","Highly Engaged"))))</f>
        <v>None</v>
      </c>
    </row>
    <row r="56">
      <c r="A56" t="str">
        <f>Roster!A56</f>
        <v xml:space="preserve">Nic Stamper</v>
      </c>
      <c r="B56">
        <f>IFERROR(INDEX(Roster!B:B,MATCH(A56,Roster!A:A,0)),"")</f>
        <v>3</v>
      </c>
      <c r="C56">
        <f>COUNTIFS(Help_Log!B:B,A56,Help_Log!E:E,1)</f>
        <v>0</v>
      </c>
      <c r="D56">
        <f>COUNTIFS(Help_Log!B:B,A56,Help_Log!E:E,2)</f>
        <v>0</v>
      </c>
      <c r="E56">
        <f>C56+(D56*2)</f>
        <v>0</v>
      </c>
      <c r="F56" t="str">
        <f>IF(E56=0,"None",IF(E56&lt;=2,"Low",IF(E56&lt;=6,"Moderate",IF(E56&lt;=12,"Active","Highly Engaged"))))</f>
        <v>None</v>
      </c>
    </row>
    <row r="57">
      <c r="A57" t="str">
        <f>Roster!A57</f>
        <v xml:space="preserve">Tristan Worthington</v>
      </c>
      <c r="B57">
        <f>IFERROR(INDEX(Roster!B:B,MATCH(A57,Roster!A:A,0)),"")</f>
        <v>3</v>
      </c>
      <c r="C57">
        <f>COUNTIFS(Help_Log!B:B,A57,Help_Log!E:E,1)</f>
        <v>0</v>
      </c>
      <c r="D57">
        <f>COUNTIFS(Help_Log!B:B,A57,Help_Log!E:E,2)</f>
        <v>0</v>
      </c>
      <c r="E57">
        <f>C57+(D57*2)</f>
        <v>0</v>
      </c>
      <c r="F57" t="str">
        <f>IF(E57=0,"None",IF(E57&lt;=2,"Low",IF(E57&lt;=6,"Moderate",IF(E57&lt;=12,"Active","Highly Engaged"))))</f>
        <v>None</v>
      </c>
    </row>
  </sheetData>
  <sheetProtection autoFilter="1" deleteColumns="1" deleteRows="1" formatCells="1" formatColumns="1" formatRows="1" insertColumns="1" insertHyperlinks="1" insertRows="1" objects="1" pivotTables="1" scenarios="1" selectLockedCells="0" selectUnlockedCells="0" sheet="1" sort="1"/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7" zoomScale="100" workbookViewId="0">
      <selection activeCell="A1" activeCellId="0" sqref="A1"/>
    </sheetView>
  </sheetViews>
  <sheetFormatPr defaultRowHeight="14.25"/>
  <cols>
    <col customWidth="1" min="1" max="1" width="20.421875"/>
  </cols>
  <sheetData>
    <row r="1" ht="14.25">
      <c r="A1" t="s">
        <v>38</v>
      </c>
      <c r="B1" t="s">
        <v>39</v>
      </c>
    </row>
    <row r="2" ht="14.25">
      <c r="A2" t="s">
        <v>40</v>
      </c>
      <c r="B2">
        <v>1</v>
      </c>
    </row>
    <row r="3" ht="14.25">
      <c r="A3" t="s">
        <v>41</v>
      </c>
      <c r="B3">
        <v>1</v>
      </c>
    </row>
    <row r="4" ht="14.25">
      <c r="A4" t="s">
        <v>42</v>
      </c>
      <c r="B4">
        <v>1</v>
      </c>
    </row>
    <row r="5" ht="14.25">
      <c r="A5" t="s">
        <v>43</v>
      </c>
      <c r="B5">
        <v>1</v>
      </c>
    </row>
    <row r="6" ht="14.25">
      <c r="A6" t="s">
        <v>44</v>
      </c>
      <c r="B6">
        <v>1</v>
      </c>
    </row>
    <row r="7" ht="14.25">
      <c r="A7" t="s">
        <v>45</v>
      </c>
      <c r="B7">
        <v>1</v>
      </c>
    </row>
    <row r="8" ht="14.25">
      <c r="A8" t="s">
        <v>46</v>
      </c>
      <c r="B8">
        <v>1</v>
      </c>
    </row>
    <row r="9" ht="14.25">
      <c r="A9" t="s">
        <v>47</v>
      </c>
      <c r="B9">
        <v>1</v>
      </c>
    </row>
    <row r="10" ht="14.25">
      <c r="A10" t="s">
        <v>48</v>
      </c>
      <c r="B10">
        <v>1</v>
      </c>
    </row>
    <row r="11" ht="14.25">
      <c r="A11" t="s">
        <v>49</v>
      </c>
      <c r="B11">
        <v>1</v>
      </c>
    </row>
    <row r="12" ht="14.25">
      <c r="A12" t="s">
        <v>50</v>
      </c>
      <c r="B12">
        <v>1</v>
      </c>
    </row>
    <row r="13" ht="14.25">
      <c r="A13" t="s">
        <v>51</v>
      </c>
      <c r="B13">
        <v>1</v>
      </c>
    </row>
    <row r="14" ht="14.25">
      <c r="A14" t="s">
        <v>52</v>
      </c>
      <c r="B14">
        <v>1</v>
      </c>
    </row>
    <row r="15" ht="14.25">
      <c r="A15" t="s">
        <v>53</v>
      </c>
      <c r="B15">
        <v>1</v>
      </c>
    </row>
    <row r="16" ht="14.25">
      <c r="A16" t="s">
        <v>54</v>
      </c>
      <c r="B16">
        <v>1</v>
      </c>
    </row>
    <row r="17" ht="14.25">
      <c r="A17" t="s">
        <v>55</v>
      </c>
      <c r="B17">
        <v>1</v>
      </c>
    </row>
    <row r="18" ht="14.25">
      <c r="A18" t="s">
        <v>56</v>
      </c>
      <c r="B18">
        <v>1</v>
      </c>
    </row>
    <row r="19" ht="14.25">
      <c r="A19" t="s">
        <v>57</v>
      </c>
      <c r="B19">
        <v>2</v>
      </c>
    </row>
    <row r="20" ht="14.25">
      <c r="A20" t="s">
        <v>58</v>
      </c>
      <c r="B20">
        <v>2</v>
      </c>
    </row>
    <row r="21" ht="14.25">
      <c r="A21" t="s">
        <v>59</v>
      </c>
      <c r="B21">
        <v>2</v>
      </c>
    </row>
    <row r="22" ht="14.25">
      <c r="A22" t="s">
        <v>60</v>
      </c>
      <c r="B22">
        <v>2</v>
      </c>
    </row>
    <row r="23" ht="14.25">
      <c r="A23" t="s">
        <v>61</v>
      </c>
      <c r="B23">
        <v>2</v>
      </c>
    </row>
    <row r="24" ht="14.25">
      <c r="A24" t="s">
        <v>62</v>
      </c>
      <c r="B24">
        <v>2</v>
      </c>
    </row>
    <row r="25" ht="14.25">
      <c r="A25" t="s">
        <v>63</v>
      </c>
      <c r="B25">
        <v>2</v>
      </c>
    </row>
    <row r="26" ht="14.25">
      <c r="A26" t="s">
        <v>64</v>
      </c>
      <c r="B26">
        <v>2</v>
      </c>
    </row>
    <row r="27" ht="14.25">
      <c r="A27" t="s">
        <v>65</v>
      </c>
      <c r="B27">
        <v>2</v>
      </c>
    </row>
    <row r="28" ht="14.25">
      <c r="A28" t="s">
        <v>66</v>
      </c>
      <c r="B28">
        <v>2</v>
      </c>
    </row>
    <row r="29" ht="14.25">
      <c r="A29" t="s">
        <v>67</v>
      </c>
      <c r="B29">
        <v>2</v>
      </c>
    </row>
    <row r="30" ht="14.25">
      <c r="A30" t="s">
        <v>68</v>
      </c>
      <c r="B30">
        <v>2</v>
      </c>
    </row>
    <row r="31" ht="14.25">
      <c r="A31" t="s">
        <v>69</v>
      </c>
      <c r="B31">
        <v>2</v>
      </c>
    </row>
    <row r="32" ht="14.25">
      <c r="A32" t="s">
        <v>70</v>
      </c>
      <c r="B32">
        <v>2</v>
      </c>
    </row>
    <row r="33" ht="14.25">
      <c r="A33" t="s">
        <v>71</v>
      </c>
      <c r="B33">
        <v>2</v>
      </c>
    </row>
    <row r="34" ht="14.25">
      <c r="A34" t="s">
        <v>72</v>
      </c>
      <c r="B34">
        <v>2</v>
      </c>
    </row>
    <row r="35" ht="14.25">
      <c r="A35" t="s">
        <v>73</v>
      </c>
      <c r="B35">
        <v>2</v>
      </c>
    </row>
    <row r="36" ht="14.25">
      <c r="A36" t="s">
        <v>74</v>
      </c>
      <c r="B36">
        <v>2</v>
      </c>
    </row>
    <row r="37" ht="14.25">
      <c r="A37" t="s">
        <v>75</v>
      </c>
      <c r="B37">
        <v>2</v>
      </c>
    </row>
    <row r="38" ht="14.25">
      <c r="A38" t="s">
        <v>76</v>
      </c>
      <c r="B38">
        <v>2</v>
      </c>
    </row>
    <row r="39" ht="14.25">
      <c r="A39" t="s">
        <v>77</v>
      </c>
      <c r="B39">
        <v>2</v>
      </c>
    </row>
    <row r="40" ht="14.25">
      <c r="A40" t="s">
        <v>78</v>
      </c>
      <c r="B40">
        <v>2</v>
      </c>
    </row>
    <row r="41" ht="14.25">
      <c r="A41" t="s">
        <v>79</v>
      </c>
      <c r="B41">
        <v>2</v>
      </c>
    </row>
    <row r="42" ht="14.25">
      <c r="A42" t="s">
        <v>80</v>
      </c>
      <c r="B42">
        <v>2</v>
      </c>
    </row>
    <row r="43" ht="14.25">
      <c r="A43" t="s">
        <v>81</v>
      </c>
      <c r="B43">
        <v>2</v>
      </c>
    </row>
    <row r="44" ht="14.25">
      <c r="A44" t="s">
        <v>82</v>
      </c>
      <c r="B44">
        <v>2</v>
      </c>
    </row>
    <row r="45" ht="14.25">
      <c r="A45" t="s">
        <v>83</v>
      </c>
      <c r="B45">
        <v>2</v>
      </c>
    </row>
    <row r="46" ht="14.25">
      <c r="A46" t="s">
        <v>84</v>
      </c>
      <c r="B46">
        <v>3</v>
      </c>
    </row>
    <row r="47" ht="14.25">
      <c r="A47" t="s">
        <v>85</v>
      </c>
      <c r="B47">
        <v>3</v>
      </c>
    </row>
    <row r="48" ht="14.25">
      <c r="A48" t="s">
        <v>86</v>
      </c>
      <c r="B48">
        <v>3</v>
      </c>
    </row>
    <row r="49" ht="14.25">
      <c r="A49" t="s">
        <v>87</v>
      </c>
      <c r="B49">
        <v>3</v>
      </c>
    </row>
    <row r="50" ht="14.25">
      <c r="A50" t="s">
        <v>88</v>
      </c>
      <c r="B50">
        <v>3</v>
      </c>
    </row>
    <row r="51" ht="14.25">
      <c r="A51" t="s">
        <v>89</v>
      </c>
      <c r="B51">
        <v>3</v>
      </c>
    </row>
    <row r="52" ht="14.25">
      <c r="A52" t="s">
        <v>90</v>
      </c>
      <c r="B52">
        <v>3</v>
      </c>
    </row>
    <row r="53" ht="14.25">
      <c r="A53" t="s">
        <v>91</v>
      </c>
      <c r="B53">
        <v>3</v>
      </c>
    </row>
    <row r="54" ht="14.25">
      <c r="A54" t="s">
        <v>92</v>
      </c>
      <c r="B54">
        <v>3</v>
      </c>
    </row>
    <row r="55" ht="14.25">
      <c r="A55" t="s">
        <v>93</v>
      </c>
      <c r="B55">
        <v>3</v>
      </c>
    </row>
    <row r="56" ht="14.25">
      <c r="A56" t="s">
        <v>94</v>
      </c>
      <c r="B56">
        <v>3</v>
      </c>
    </row>
    <row r="57" ht="14.25">
      <c r="A57" t="s">
        <v>95</v>
      </c>
      <c r="B57">
        <v>3</v>
      </c>
    </row>
  </sheetData>
  <sheetProtection autoFilter="1" deleteColumns="1" deleteRows="1" formatCells="1" formatColumns="1" formatRows="1" insertColumns="1" insertHyperlinks="1" insertRows="1" objects="1" pivotTables="1" scenarios="1" selectLockedCells="1" selectUnlockedCells="0" sheet="1" sort="1"/>
  <dataValidations count="1" disablePrompts="0">
    <dataValidation sqref="B:B" type="list" allowBlank="1" errorStyle="stop" imeMode="noControl" operator="between" showDropDown="0" showErrorMessage="1" showInputMessage="1">
      <formula1>Help_Log!$V$3:$V$5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2026-02-18T17:44:52Z</dcterms:modified>
</cp:coreProperties>
</file>